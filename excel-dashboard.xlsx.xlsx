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8244a4037a88262/Desktop/Data Analysis/Projects/"/>
    </mc:Choice>
  </mc:AlternateContent>
  <xr:revisionPtr revIDLastSave="317" documentId="8_{2BF24BAC-724E-4DD2-9B42-8ADBE72DAC79}" xr6:coauthVersionLast="47" xr6:coauthVersionMax="47" xr10:uidLastSave="{E3C410AE-84FF-4DC5-90B8-BFDD25775A80}"/>
  <bookViews>
    <workbookView xWindow="-108" yWindow="-108" windowWidth="23256" windowHeight="13176" activeTab="3" xr2:uid="{FB5E28E9-124D-4165-B477-5BAB9F98B225}"/>
  </bookViews>
  <sheets>
    <sheet name="Sales data" sheetId="1" r:id="rId1"/>
    <sheet name="KPIs" sheetId="2" r:id="rId2"/>
    <sheet name="pivots" sheetId="4" r:id="rId3"/>
    <sheet name="Dashboards" sheetId="5" r:id="rId4"/>
    <sheet name="Insights" sheetId="6" r:id="rId5"/>
  </sheets>
  <definedNames>
    <definedName name="SalesData">salessdata[]</definedName>
    <definedName name="SalesTable">salessdata[]</definedName>
  </definedNames>
  <calcPr calcId="191029"/>
  <pivotCaches>
    <pivotCache cacheId="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5" l="1"/>
  <c r="H9" i="5"/>
  <c r="H7" i="5"/>
  <c r="H5" i="5"/>
  <c r="H3" i="5"/>
  <c r="C12" i="2"/>
  <c r="C10" i="2"/>
  <c r="C8" i="2"/>
  <c r="C6" i="2"/>
  <c r="C4" i="2"/>
</calcChain>
</file>

<file path=xl/sharedStrings.xml><?xml version="1.0" encoding="utf-8"?>
<sst xmlns="http://schemas.openxmlformats.org/spreadsheetml/2006/main" count="158" uniqueCount="64">
  <si>
    <t>OrderID</t>
  </si>
  <si>
    <t>OrderDate</t>
  </si>
  <si>
    <t>CustomerID</t>
  </si>
  <si>
    <t>Product</t>
  </si>
  <si>
    <t>Category</t>
  </si>
  <si>
    <t>Quantity</t>
  </si>
  <si>
    <t>UnitPrice</t>
  </si>
  <si>
    <t>TotalSales</t>
  </si>
  <si>
    <t>TotalProfit</t>
  </si>
  <si>
    <t>Region</t>
  </si>
  <si>
    <t>Channel</t>
  </si>
  <si>
    <t>C001</t>
  </si>
  <si>
    <t>Phone</t>
  </si>
  <si>
    <t>Electronics</t>
  </si>
  <si>
    <t>Delhi</t>
  </si>
  <si>
    <t>Facebook</t>
  </si>
  <si>
    <t>C002</t>
  </si>
  <si>
    <t>Laptop</t>
  </si>
  <si>
    <t>Mumbai</t>
  </si>
  <si>
    <t>Google</t>
  </si>
  <si>
    <t>C003</t>
  </si>
  <si>
    <t>Headphones</t>
  </si>
  <si>
    <t>Accessories</t>
  </si>
  <si>
    <t>Bengaluru</t>
  </si>
  <si>
    <t>Instagram</t>
  </si>
  <si>
    <t>Phone Case</t>
  </si>
  <si>
    <t>C004</t>
  </si>
  <si>
    <t>Tablet</t>
  </si>
  <si>
    <t>Kolkata</t>
  </si>
  <si>
    <t>C005</t>
  </si>
  <si>
    <t>Shoes</t>
  </si>
  <si>
    <t>Fashion</t>
  </si>
  <si>
    <t>Smart Watch</t>
  </si>
  <si>
    <t>Chennai</t>
  </si>
  <si>
    <t>C006</t>
  </si>
  <si>
    <t>T-shirt</t>
  </si>
  <si>
    <t>C007</t>
  </si>
  <si>
    <t>C008</t>
  </si>
  <si>
    <t>C009</t>
  </si>
  <si>
    <t>Jacket</t>
  </si>
  <si>
    <t>C010</t>
  </si>
  <si>
    <t>C011</t>
  </si>
  <si>
    <t>C012</t>
  </si>
  <si>
    <t>C013</t>
  </si>
  <si>
    <t>C014</t>
  </si>
  <si>
    <t>C015</t>
  </si>
  <si>
    <t>Total Revenue</t>
  </si>
  <si>
    <t>Total Profit</t>
  </si>
  <si>
    <t>Total Number of Orders</t>
  </si>
  <si>
    <t>Total Number of Customers</t>
  </si>
  <si>
    <t>Average Order Value</t>
  </si>
  <si>
    <t>Row Labels</t>
  </si>
  <si>
    <t>Grand Total</t>
  </si>
  <si>
    <t>Sum of TotalSales</t>
  </si>
  <si>
    <t>Jan</t>
  </si>
  <si>
    <t>Feb</t>
  </si>
  <si>
    <t>Laptop is highest revenue generating product</t>
  </si>
  <si>
    <t>INSIGHTS</t>
  </si>
  <si>
    <t>Phone case is least revenue generating product</t>
  </si>
  <si>
    <t>Bengaluru is the highest revenue generating city</t>
  </si>
  <si>
    <t xml:space="preserve">Jan is more profitable than feb </t>
  </si>
  <si>
    <t>Trend looks like down trend</t>
  </si>
  <si>
    <t>Total Customers</t>
  </si>
  <si>
    <t>Total 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</si>
</sst>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9" formatCode="_ [$₹-4009]\ * #,##0.00_ ;_ [$₹-4009]\ * \-#,##0.00_ ;_ [$₹-4009]\ * &quot;-&quot;??_ ;_ @_ "/>
    <numFmt numFmtId="171" formatCode="_ [$₹-4009]\ * #,##0_ ;_ [$₹-4009]\ * \-#,##0_ ;_ [$₹-4009]\ * &quot;-&quot;??_ ;_ @_ 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0" fontId="2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69" fontId="3" fillId="3" borderId="1" xfId="0" applyNumberFormat="1" applyFont="1" applyFill="1" applyBorder="1" applyAlignment="1">
      <alignment horizontal="center"/>
    </xf>
    <xf numFmtId="171" fontId="3" fillId="3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1" formatCode="0"/>
    </dxf>
    <dxf>
      <numFmt numFmtId="164" formatCode="0.0"/>
    </dxf>
    <dxf>
      <numFmt numFmtId="164" formatCode="0.0"/>
    </dxf>
    <dxf>
      <numFmt numFmtId="164" formatCode="0.0"/>
    </dxf>
    <dxf>
      <numFmt numFmtId="19" formatCode="m/d/yyyy"/>
    </dxf>
  </dxfs>
  <tableStyles count="0" defaultTableStyle="TableStyleMedium2" defaultPivotStyle="PivotStyleLight16"/>
  <colors>
    <mruColors>
      <color rgb="FF9ED5E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p1.xlsx]pivots!PivotTable1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pivots!$A$4:$A$13</c:f>
              <c:strCache>
                <c:ptCount val="9"/>
                <c:pt idx="0">
                  <c:v>Laptop</c:v>
                </c:pt>
                <c:pt idx="1">
                  <c:v>Tablet</c:v>
                </c:pt>
                <c:pt idx="2">
                  <c:v>Phone</c:v>
                </c:pt>
                <c:pt idx="3">
                  <c:v>Smart Watch</c:v>
                </c:pt>
                <c:pt idx="4">
                  <c:v>Jacket</c:v>
                </c:pt>
                <c:pt idx="5">
                  <c:v>Shoes</c:v>
                </c:pt>
                <c:pt idx="6">
                  <c:v>Headphones</c:v>
                </c:pt>
                <c:pt idx="7">
                  <c:v>T-shirt</c:v>
                </c:pt>
                <c:pt idx="8">
                  <c:v>Phone Case</c:v>
                </c:pt>
              </c:strCache>
            </c:strRef>
          </c:cat>
          <c:val>
            <c:numRef>
              <c:f>pivots!$B$4:$B$13</c:f>
              <c:numCache>
                <c:formatCode>0.0</c:formatCode>
                <c:ptCount val="9"/>
                <c:pt idx="0">
                  <c:v>174000</c:v>
                </c:pt>
                <c:pt idx="1">
                  <c:v>86000</c:v>
                </c:pt>
                <c:pt idx="2">
                  <c:v>63000</c:v>
                </c:pt>
                <c:pt idx="3">
                  <c:v>15800</c:v>
                </c:pt>
                <c:pt idx="4">
                  <c:v>9200</c:v>
                </c:pt>
                <c:pt idx="5">
                  <c:v>7800</c:v>
                </c:pt>
                <c:pt idx="6">
                  <c:v>4500</c:v>
                </c:pt>
                <c:pt idx="7">
                  <c:v>3650</c:v>
                </c:pt>
                <c:pt idx="8">
                  <c:v>1100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5B-4EDB-832E-9E778C7942A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7959407"/>
        <c:axId val="137959887"/>
      </c:barChart>
      <c:catAx>
        <c:axId val="13795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59887"/>
        <c:crosses val="autoZero"/>
        <c:auto val="1"/>
        <c:lblAlgn val="ctr"/>
        <c:lblOffset val="100"/>
        <c:noMultiLvlLbl val="0"/>
      </c:catAx>
      <c:valAx>
        <c:axId val="13795988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9594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p1.xlsx]pivots!PivotTable2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Region</a:t>
            </a:r>
            <a:endParaRPr lang="en-US"/>
          </a:p>
        </c:rich>
      </c:tx>
      <c:layout>
        <c:manualLayout>
          <c:xMode val="edge"/>
          <c:yMode val="edge"/>
          <c:x val="0.44020590098651463"/>
          <c:y val="3.28947368421052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pivots!$A$19:$A$24</c:f>
              <c:strCache>
                <c:ptCount val="5"/>
                <c:pt idx="0">
                  <c:v>Bengaluru</c:v>
                </c:pt>
                <c:pt idx="1">
                  <c:v>Delhi</c:v>
                </c:pt>
                <c:pt idx="2">
                  <c:v>Mumbai</c:v>
                </c:pt>
                <c:pt idx="3">
                  <c:v>Kolkata</c:v>
                </c:pt>
                <c:pt idx="4">
                  <c:v>Chennai</c:v>
                </c:pt>
              </c:strCache>
            </c:strRef>
          </c:cat>
          <c:val>
            <c:numRef>
              <c:f>pivots!$B$19:$B$24</c:f>
              <c:numCache>
                <c:formatCode>0.0</c:formatCode>
                <c:ptCount val="5"/>
                <c:pt idx="0">
                  <c:v>120700</c:v>
                </c:pt>
                <c:pt idx="1">
                  <c:v>111900</c:v>
                </c:pt>
                <c:pt idx="2">
                  <c:v>72000</c:v>
                </c:pt>
                <c:pt idx="3">
                  <c:v>51500</c:v>
                </c:pt>
                <c:pt idx="4">
                  <c:v>8950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58-4F5A-A8FE-8B8A309CEF7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88335679"/>
        <c:axId val="288336159"/>
      </c:barChart>
      <c:catAx>
        <c:axId val="28833567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36159"/>
        <c:crosses val="autoZero"/>
        <c:auto val="1"/>
        <c:lblAlgn val="ctr"/>
        <c:lblOffset val="100"/>
        <c:noMultiLvlLbl val="0"/>
      </c:catAx>
      <c:valAx>
        <c:axId val="288336159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8335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p1.xlsx]pivots!PivotTable3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pivots!$A$29:$A$31</c:f>
              <c:strCache>
                <c:ptCount val="2"/>
                <c:pt idx="0">
                  <c:v>Jan</c:v>
                </c:pt>
                <c:pt idx="1">
                  <c:v>Feb</c:v>
                </c:pt>
              </c:strCache>
            </c:strRef>
          </c:cat>
          <c:val>
            <c:numRef>
              <c:f>pivots!$B$29:$B$31</c:f>
              <c:numCache>
                <c:formatCode>0.0</c:formatCode>
                <c:ptCount val="2"/>
                <c:pt idx="0">
                  <c:v>339850</c:v>
                </c:pt>
                <c:pt idx="1">
                  <c:v>25200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88-4351-BD7E-8B5DB8EE0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397871"/>
        <c:axId val="168399311"/>
      </c:lineChart>
      <c:catAx>
        <c:axId val="168397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9311"/>
        <c:crosses val="autoZero"/>
        <c:auto val="1"/>
        <c:lblAlgn val="ctr"/>
        <c:lblOffset val="100"/>
        <c:noMultiLvlLbl val="0"/>
      </c:catAx>
      <c:valAx>
        <c:axId val="16839931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</a:p>
            </c:rich>
          </c:tx>
          <c:layout>
            <c:manualLayout>
              <c:xMode val="edge"/>
              <c:yMode val="edge"/>
              <c:x val="1.6666666666666666E-2"/>
              <c:y val="0.3533603091280256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97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[e-commerce p1.xlsx]pivots!PivotTable5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/>
              <a:t>Revenue by Channel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pivots!$B$35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pivots!$A$36:$A$39</c:f>
              <c:strCache>
                <c:ptCount val="3"/>
                <c:pt idx="0">
                  <c:v>Instagram</c:v>
                </c:pt>
                <c:pt idx="1">
                  <c:v>Facebook</c:v>
                </c:pt>
                <c:pt idx="2">
                  <c:v>Google</c:v>
                </c:pt>
              </c:strCache>
            </c:strRef>
          </c:cat>
          <c:val>
            <c:numRef>
              <c:f>pivots!$B$36:$B$39</c:f>
              <c:numCache>
                <c:formatCode>0.0</c:formatCode>
                <c:ptCount val="3"/>
                <c:pt idx="0">
                  <c:v>149500</c:v>
                </c:pt>
                <c:pt idx="1">
                  <c:v>109600</c:v>
                </c:pt>
                <c:pt idx="2">
                  <c:v>105950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9B-4DD8-8197-3B4E2126E49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4728687"/>
        <c:axId val="274739247"/>
      </c:barChart>
      <c:catAx>
        <c:axId val="274728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739247"/>
        <c:crosses val="autoZero"/>
        <c:auto val="1"/>
        <c:lblAlgn val="ctr"/>
        <c:lblOffset val="100"/>
        <c:noMultiLvlLbl val="0"/>
      </c:catAx>
      <c:valAx>
        <c:axId val="27473924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Sales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4728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941718</xdr:colOff>
      <xdr:row>13</xdr:row>
      <xdr:rowOff>158749</xdr:rowOff>
    </xdr:from>
    <xdr:to>
      <xdr:col>17</xdr:col>
      <xdr:colOff>596900</xdr:colOff>
      <xdr:row>31</xdr:row>
      <xdr:rowOff>67733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6F281A-6647-4BEE-BAA5-11A82DE2D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34</xdr:row>
      <xdr:rowOff>158749</xdr:rowOff>
    </xdr:from>
    <xdr:to>
      <xdr:col>6</xdr:col>
      <xdr:colOff>2402417</xdr:colOff>
      <xdr:row>53</xdr:row>
      <xdr:rowOff>122292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5625FDF-3C62-4C4F-B7CC-9B49702330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193696</xdr:colOff>
      <xdr:row>13</xdr:row>
      <xdr:rowOff>161860</xdr:rowOff>
    </xdr:from>
    <xdr:to>
      <xdr:col>6</xdr:col>
      <xdr:colOff>2423583</xdr:colOff>
      <xdr:row>31</xdr:row>
      <xdr:rowOff>148166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A060D0-5A10-4E59-B20A-43B547E767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1016000</xdr:colOff>
      <xdr:row>33</xdr:row>
      <xdr:rowOff>75755</xdr:rowOff>
    </xdr:from>
    <xdr:to>
      <xdr:col>17</xdr:col>
      <xdr:colOff>326412</xdr:colOff>
      <xdr:row>53</xdr:row>
      <xdr:rowOff>11588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71D988F-BBDD-4C18-822B-3E1965D2A2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SUS" refreshedDate="45987.664746180555" createdVersion="8" refreshedVersion="8" minRefreshableVersion="3" recordCount="20" xr:uid="{BBC9AC17-52F8-43EF-B8CC-6809D5179DBA}">
  <cacheSource type="worksheet">
    <worksheetSource name="salessdata"/>
  </cacheSource>
  <cacheFields count="13">
    <cacheField name="OrderID" numFmtId="0">
      <sharedItems containsSemiMixedTypes="0" containsString="0" containsNumber="1" containsInteger="1" minValue="1001" maxValue="1020"/>
    </cacheField>
    <cacheField name="OrderDate" numFmtId="14">
      <sharedItems containsSemiMixedTypes="0" containsNonDate="0" containsDate="1" containsString="0" minDate="2024-01-05T00:00:00" maxDate="2024-02-03T00:00:00" count="20">
        <d v="2024-01-05T00:00:00"/>
        <d v="2024-01-07T00:00:00"/>
        <d v="2024-01-08T00:00:00"/>
        <d v="2024-01-12T00:00:00"/>
        <d v="2024-01-13T00:00:00"/>
        <d v="2024-01-14T00:00:00"/>
        <d v="2024-01-15T00:00:00"/>
        <d v="2024-01-17T00:00:00"/>
        <d v="2024-01-19T00:00:00"/>
        <d v="2024-01-20T00:00:00"/>
        <d v="2024-01-22T00:00:00"/>
        <d v="2024-01-23T00:00:00"/>
        <d v="2024-01-25T00:00:00"/>
        <d v="2024-01-26T00:00:00"/>
        <d v="2024-01-27T00:00:00"/>
        <d v="2024-01-28T00:00:00"/>
        <d v="2024-01-29T00:00:00"/>
        <d v="2024-01-30T00:00:00"/>
        <d v="2024-02-01T00:00:00"/>
        <d v="2024-02-02T00:00:00"/>
      </sharedItems>
      <fieldGroup par="12"/>
    </cacheField>
    <cacheField name="CustomerID" numFmtId="0">
      <sharedItems/>
    </cacheField>
    <cacheField name="Product" numFmtId="0">
      <sharedItems count="9">
        <s v="Phone"/>
        <s v="Laptop"/>
        <s v="Headphones"/>
        <s v="Phone Case"/>
        <s v="Tablet"/>
        <s v="Shoes"/>
        <s v="Smart Watch"/>
        <s v="T-shirt"/>
        <s v="Jacket"/>
      </sharedItems>
    </cacheField>
    <cacheField name="Category" numFmtId="0">
      <sharedItems/>
    </cacheField>
    <cacheField name="Quantity" numFmtId="1">
      <sharedItems containsSemiMixedTypes="0" containsString="0" containsNumber="1" containsInteger="1" minValue="1" maxValue="3"/>
    </cacheField>
    <cacheField name="UnitPrice" numFmtId="164">
      <sharedItems containsSemiMixedTypes="0" containsString="0" containsNumber="1" containsInteger="1" minValue="200" maxValue="60000"/>
    </cacheField>
    <cacheField name="TotalSales" numFmtId="164">
      <sharedItems containsSemiMixedTypes="0" containsString="0" containsNumber="1" containsInteger="1" minValue="500" maxValue="60000"/>
    </cacheField>
    <cacheField name="TotalProfit" numFmtId="164">
      <sharedItems containsSemiMixedTypes="0" containsString="0" containsNumber="1" containsInteger="1" minValue="150" maxValue="9000"/>
    </cacheField>
    <cacheField name="Region" numFmtId="0">
      <sharedItems count="5">
        <s v="Delhi"/>
        <s v="Mumbai"/>
        <s v="Bengaluru"/>
        <s v="Kolkata"/>
        <s v="Chennai"/>
      </sharedItems>
    </cacheField>
    <cacheField name="Channel" numFmtId="0">
      <sharedItems count="3">
        <s v="Facebook"/>
        <s v="Google"/>
        <s v="Instagram"/>
      </sharedItems>
    </cacheField>
    <cacheField name="Days (OrderDate)" numFmtId="0" databaseField="0">
      <fieldGroup base="1">
        <rangePr groupBy="days" startDate="2024-01-05T00:00:00" endDate="2024-02-03T00:00:00"/>
        <groupItems count="368">
          <s v="&lt;1/5/2024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/3/2024"/>
        </groupItems>
      </fieldGroup>
    </cacheField>
    <cacheField name="Months (OrderDate)" numFmtId="0" databaseField="0">
      <fieldGroup base="1">
        <rangePr groupBy="months" startDate="2024-01-05T00:00:00" endDate="2024-02-03T00:00:00"/>
        <groupItems count="14">
          <s v="&lt;1/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/3/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001"/>
    <x v="0"/>
    <s v="C001"/>
    <x v="0"/>
    <s v="Electronics"/>
    <n v="1"/>
    <n v="20000"/>
    <n v="20000"/>
    <n v="2500"/>
    <x v="0"/>
    <x v="0"/>
  </r>
  <r>
    <n v="1002"/>
    <x v="1"/>
    <s v="C002"/>
    <x v="1"/>
    <s v="Electronics"/>
    <n v="1"/>
    <n v="55000"/>
    <n v="55000"/>
    <n v="8000"/>
    <x v="1"/>
    <x v="1"/>
  </r>
  <r>
    <n v="1003"/>
    <x v="2"/>
    <s v="C003"/>
    <x v="2"/>
    <s v="Accessories"/>
    <n v="2"/>
    <n v="1500"/>
    <n v="3000"/>
    <n v="700"/>
    <x v="2"/>
    <x v="2"/>
  </r>
  <r>
    <n v="1004"/>
    <x v="3"/>
    <s v="C001"/>
    <x v="3"/>
    <s v="Accessories"/>
    <n v="3"/>
    <n v="200"/>
    <n v="600"/>
    <n v="200"/>
    <x v="0"/>
    <x v="0"/>
  </r>
  <r>
    <n v="1005"/>
    <x v="4"/>
    <s v="C004"/>
    <x v="4"/>
    <s v="Electronics"/>
    <n v="1"/>
    <n v="30000"/>
    <n v="30000"/>
    <n v="5000"/>
    <x v="3"/>
    <x v="1"/>
  </r>
  <r>
    <n v="1006"/>
    <x v="5"/>
    <s v="C005"/>
    <x v="5"/>
    <s v="Fashion"/>
    <n v="2"/>
    <n v="2500"/>
    <n v="5000"/>
    <n v="1000"/>
    <x v="1"/>
    <x v="0"/>
  </r>
  <r>
    <n v="1007"/>
    <x v="6"/>
    <s v="C002"/>
    <x v="6"/>
    <s v="Electronics"/>
    <n v="1"/>
    <n v="8000"/>
    <n v="8000"/>
    <n v="1200"/>
    <x v="4"/>
    <x v="1"/>
  </r>
  <r>
    <n v="1008"/>
    <x v="7"/>
    <s v="C006"/>
    <x v="7"/>
    <s v="Fashion"/>
    <n v="3"/>
    <n v="900"/>
    <n v="2700"/>
    <n v="450"/>
    <x v="2"/>
    <x v="2"/>
  </r>
  <r>
    <n v="1009"/>
    <x v="8"/>
    <s v="C007"/>
    <x v="1"/>
    <s v="Electronics"/>
    <n v="1"/>
    <n v="60000"/>
    <n v="60000"/>
    <n v="9000"/>
    <x v="0"/>
    <x v="0"/>
  </r>
  <r>
    <n v="1010"/>
    <x v="9"/>
    <s v="C008"/>
    <x v="0"/>
    <s v="Electronics"/>
    <n v="1"/>
    <n v="21000"/>
    <n v="21000"/>
    <n v="3000"/>
    <x v="3"/>
    <x v="2"/>
  </r>
  <r>
    <n v="1011"/>
    <x v="10"/>
    <s v="C009"/>
    <x v="8"/>
    <s v="Fashion"/>
    <n v="2"/>
    <n v="3000"/>
    <n v="6000"/>
    <n v="900"/>
    <x v="1"/>
    <x v="1"/>
  </r>
  <r>
    <n v="1012"/>
    <x v="11"/>
    <s v="C010"/>
    <x v="2"/>
    <s v="Accessories"/>
    <n v="1"/>
    <n v="1500"/>
    <n v="1500"/>
    <n v="500"/>
    <x v="0"/>
    <x v="0"/>
  </r>
  <r>
    <n v="1013"/>
    <x v="12"/>
    <s v="C011"/>
    <x v="4"/>
    <s v="Electronics"/>
    <n v="2"/>
    <n v="28000"/>
    <n v="56000"/>
    <n v="7000"/>
    <x v="2"/>
    <x v="2"/>
  </r>
  <r>
    <n v="1014"/>
    <x v="13"/>
    <s v="C012"/>
    <x v="5"/>
    <s v="Fashion"/>
    <n v="1"/>
    <n v="2800"/>
    <n v="2800"/>
    <n v="400"/>
    <x v="1"/>
    <x v="1"/>
  </r>
  <r>
    <n v="1015"/>
    <x v="14"/>
    <s v="C001"/>
    <x v="6"/>
    <s v="Electronics"/>
    <n v="1"/>
    <n v="7800"/>
    <n v="7800"/>
    <n v="1000"/>
    <x v="0"/>
    <x v="2"/>
  </r>
  <r>
    <n v="1016"/>
    <x v="15"/>
    <s v="C013"/>
    <x v="3"/>
    <s v="Accessories"/>
    <n v="2"/>
    <n v="250"/>
    <n v="500"/>
    <n v="150"/>
    <x v="3"/>
    <x v="0"/>
  </r>
  <r>
    <n v="1017"/>
    <x v="16"/>
    <s v="C014"/>
    <x v="7"/>
    <s v="Fashion"/>
    <n v="1"/>
    <n v="950"/>
    <n v="950"/>
    <n v="200"/>
    <x v="4"/>
    <x v="1"/>
  </r>
  <r>
    <n v="1018"/>
    <x v="17"/>
    <s v="C015"/>
    <x v="1"/>
    <s v="Electronics"/>
    <n v="1"/>
    <n v="59000"/>
    <n v="59000"/>
    <n v="8500"/>
    <x v="2"/>
    <x v="2"/>
  </r>
  <r>
    <n v="1019"/>
    <x v="18"/>
    <s v="C002"/>
    <x v="0"/>
    <s v="Electronics"/>
    <n v="1"/>
    <n v="22000"/>
    <n v="22000"/>
    <n v="3000"/>
    <x v="0"/>
    <x v="0"/>
  </r>
  <r>
    <n v="1020"/>
    <x v="19"/>
    <s v="C009"/>
    <x v="8"/>
    <s v="Fashion"/>
    <n v="1"/>
    <n v="3200"/>
    <n v="3200"/>
    <n v="600"/>
    <x v="1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792B528-1671-499B-A2E5-DF3F919F288D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5:B39" firstHeaderRow="1" firstDataRow="1" firstDataCol="1"/>
  <pivotFields count="1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10">
        <item x="2"/>
        <item x="8"/>
        <item x="1"/>
        <item x="0"/>
        <item x="3"/>
        <item x="5"/>
        <item x="6"/>
        <item x="4"/>
        <item x="7"/>
        <item t="default"/>
      </items>
    </pivotField>
    <pivotField showAll="0"/>
    <pivotField numFmtId="1" showAll="0"/>
    <pivotField numFmtId="164" showAll="0"/>
    <pivotField dataField="1" numFmtId="164" showAll="0"/>
    <pivotField numFmtId="164" showAll="0"/>
    <pivotField showAll="0">
      <items count="6">
        <item x="2"/>
        <item x="4"/>
        <item x="0"/>
        <item x="3"/>
        <item x="1"/>
        <item t="default"/>
      </items>
    </pivotField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TotalSales" fld="7" baseField="0" baseItem="0" numFmtId="164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3C06C-C8E5-46FC-AC95-11BE72583210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8:B31" firstHeaderRow="1" firstDataRow="1" firstDataCol="1"/>
  <pivotFields count="1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10">
        <item x="2"/>
        <item x="8"/>
        <item x="1"/>
        <item x="0"/>
        <item x="3"/>
        <item x="5"/>
        <item x="6"/>
        <item x="4"/>
        <item x="7"/>
        <item t="default"/>
      </items>
    </pivotField>
    <pivotField showAll="0"/>
    <pivotField numFmtId="1" showAll="0"/>
    <pivotField numFmtId="164" showAll="0"/>
    <pivotField dataField="1" numFmtId="164" showAll="0"/>
    <pivotField numFmtId="164" showAll="0"/>
    <pivotField showAll="0">
      <items count="6">
        <item x="2"/>
        <item x="4"/>
        <item x="0"/>
        <item x="3"/>
        <item x="1"/>
        <item t="default"/>
      </items>
    </pivotField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 sortType="descending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2"/>
  </rowFields>
  <rowItems count="3">
    <i>
      <x v="1"/>
    </i>
    <i>
      <x v="2"/>
    </i>
    <i t="grand">
      <x/>
    </i>
  </rowItems>
  <colItems count="1">
    <i/>
  </colItems>
  <dataFields count="1">
    <dataField name="Sum of TotalSales" fld="7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0FBF15-DB51-47DD-9659-6C1C2BF59B74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18:B24" firstHeaderRow="1" firstDataRow="1" firstDataCol="1"/>
  <pivotFields count="1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showAll="0">
      <items count="10">
        <item x="2"/>
        <item x="8"/>
        <item x="1"/>
        <item x="0"/>
        <item x="3"/>
        <item x="5"/>
        <item x="6"/>
        <item x="4"/>
        <item x="7"/>
        <item t="default"/>
      </items>
    </pivotField>
    <pivotField showAll="0"/>
    <pivotField numFmtId="1" showAll="0"/>
    <pivotField numFmtId="164" showAll="0"/>
    <pivotField dataField="1" numFmtId="164" showAll="0"/>
    <pivotField numFmtId="164" showAll="0"/>
    <pivotField axis="axisRow" showAll="0" sortType="descending">
      <items count="6">
        <item x="2"/>
        <item x="4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9"/>
  </rowFields>
  <rowItems count="6">
    <i>
      <x/>
    </i>
    <i>
      <x v="2"/>
    </i>
    <i>
      <x v="4"/>
    </i>
    <i>
      <x v="3"/>
    </i>
    <i>
      <x v="1"/>
    </i>
    <i t="grand">
      <x/>
    </i>
  </rowItems>
  <colItems count="1">
    <i/>
  </colItems>
  <dataFields count="1">
    <dataField name="Sum of TotalSales" fld="7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F5F29D-085A-49B4-B545-5C3419BF7651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3" firstHeaderRow="1" firstDataRow="1" firstDataCol="1"/>
  <pivotFields count="13">
    <pivotField showAll="0"/>
    <pivotField numFmtId="14" showAll="0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t="default"/>
      </items>
    </pivotField>
    <pivotField showAll="0"/>
    <pivotField axis="axisRow" showAll="0" sortType="descending">
      <items count="10">
        <item x="2"/>
        <item x="8"/>
        <item x="1"/>
        <item x="0"/>
        <item x="3"/>
        <item x="5"/>
        <item x="6"/>
        <item x="4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64" showAll="0"/>
    <pivotField dataField="1" numFmtId="164" showAll="0"/>
    <pivotField numFmtId="164" showAll="0"/>
    <pivotField showAll="0"/>
    <pivotField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3"/>
  </rowFields>
  <rowItems count="10">
    <i>
      <x v="2"/>
    </i>
    <i>
      <x v="7"/>
    </i>
    <i>
      <x v="3"/>
    </i>
    <i>
      <x v="6"/>
    </i>
    <i>
      <x v="1"/>
    </i>
    <i>
      <x v="5"/>
    </i>
    <i>
      <x/>
    </i>
    <i>
      <x v="8"/>
    </i>
    <i>
      <x v="4"/>
    </i>
    <i t="grand">
      <x/>
    </i>
  </rowItems>
  <colItems count="1">
    <i/>
  </colItems>
  <dataFields count="1">
    <dataField name="Sum of TotalSales" fld="7" baseField="0" baseItem="0" numFmtId="164"/>
  </dataField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5BEBFE-4FD8-44DE-A978-2632F1E8A249}" name="salessdata" displayName="salessdata" ref="A1:K21" totalsRowShown="0">
  <autoFilter ref="A1:K21" xr:uid="{555BEBFE-4FD8-44DE-A978-2632F1E8A249}"/>
  <tableColumns count="11">
    <tableColumn id="1" xr3:uid="{03AB0210-4F9B-4972-8A48-9E2E1339CCB8}" name="OrderID"/>
    <tableColumn id="2" xr3:uid="{E7257B16-CA33-421D-8F57-F6DA8E463132}" name="OrderDate" dataDxfId="4"/>
    <tableColumn id="3" xr3:uid="{78093AC2-4DD0-492F-AB15-49F576CE1044}" name="CustomerID"/>
    <tableColumn id="4" xr3:uid="{70176451-7251-486D-8BC6-C7D1D74BF6E1}" name="Product"/>
    <tableColumn id="5" xr3:uid="{0345ADFA-0812-4F61-B871-691B4DC8E93C}" name="Category"/>
    <tableColumn id="6" xr3:uid="{42F83FAB-2D42-4544-B51B-8014835617BF}" name="Quantity" dataDxfId="0"/>
    <tableColumn id="7" xr3:uid="{AA1E6718-04F2-4FEA-BA25-2D07AEB34033}" name="UnitPrice" dataDxfId="1"/>
    <tableColumn id="8" xr3:uid="{D69076A6-56A9-419A-A355-15D03EAC9E97}" name="TotalSales" dataDxfId="3"/>
    <tableColumn id="9" xr3:uid="{E0FC20B1-4F6C-490F-9250-C48D1C4BF36A}" name="TotalProfit" dataDxfId="2"/>
    <tableColumn id="10" xr3:uid="{AA1927CC-AEF6-4ED5-ABA7-591AE89A9EE7}" name="Region"/>
    <tableColumn id="11" xr3:uid="{D77B75BC-D3E7-4616-8CC8-B4CEEF4BE752}" name="Chann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7B89D-8595-4CB5-99F1-F2301BFBD450}">
  <dimension ref="A1:K21"/>
  <sheetViews>
    <sheetView workbookViewId="0">
      <selection activeCell="R5" sqref="R5"/>
    </sheetView>
  </sheetViews>
  <sheetFormatPr defaultRowHeight="14.4" x14ac:dyDescent="0.3"/>
  <cols>
    <col min="1" max="1" width="9.44140625" customWidth="1"/>
    <col min="2" max="2" width="11.5546875" customWidth="1"/>
    <col min="3" max="3" width="12.77734375" customWidth="1"/>
    <col min="4" max="4" width="11.33203125" bestFit="1" customWidth="1"/>
    <col min="5" max="5" width="10.88671875" bestFit="1" customWidth="1"/>
    <col min="6" max="6" width="10" style="3" customWidth="1"/>
    <col min="7" max="7" width="10.6640625" customWidth="1"/>
    <col min="8" max="9" width="11.5546875" customWidth="1"/>
    <col min="10" max="10" width="9.109375" bestFit="1" customWidth="1"/>
    <col min="11" max="11" width="9.6640625" customWidth="1"/>
  </cols>
  <sheetData>
    <row r="1" spans="1:11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t="s">
        <v>9</v>
      </c>
      <c r="K1" t="s">
        <v>10</v>
      </c>
    </row>
    <row r="2" spans="1:11" x14ac:dyDescent="0.3">
      <c r="A2">
        <v>1001</v>
      </c>
      <c r="B2" s="1">
        <v>45296</v>
      </c>
      <c r="C2" t="s">
        <v>11</v>
      </c>
      <c r="D2" t="s">
        <v>12</v>
      </c>
      <c r="E2" t="s">
        <v>13</v>
      </c>
      <c r="F2" s="3">
        <v>1</v>
      </c>
      <c r="G2" s="2">
        <v>20000</v>
      </c>
      <c r="H2" s="2">
        <v>20000</v>
      </c>
      <c r="I2" s="2">
        <v>2500</v>
      </c>
      <c r="J2" t="s">
        <v>14</v>
      </c>
      <c r="K2" t="s">
        <v>15</v>
      </c>
    </row>
    <row r="3" spans="1:11" x14ac:dyDescent="0.3">
      <c r="A3">
        <v>1002</v>
      </c>
      <c r="B3" s="1">
        <v>45298</v>
      </c>
      <c r="C3" t="s">
        <v>16</v>
      </c>
      <c r="D3" t="s">
        <v>17</v>
      </c>
      <c r="E3" t="s">
        <v>13</v>
      </c>
      <c r="F3" s="3">
        <v>1</v>
      </c>
      <c r="G3" s="2">
        <v>55000</v>
      </c>
      <c r="H3" s="2">
        <v>55000</v>
      </c>
      <c r="I3" s="2">
        <v>8000</v>
      </c>
      <c r="J3" t="s">
        <v>18</v>
      </c>
      <c r="K3" t="s">
        <v>19</v>
      </c>
    </row>
    <row r="4" spans="1:11" x14ac:dyDescent="0.3">
      <c r="A4">
        <v>1003</v>
      </c>
      <c r="B4" s="1">
        <v>45299</v>
      </c>
      <c r="C4" t="s">
        <v>20</v>
      </c>
      <c r="D4" t="s">
        <v>21</v>
      </c>
      <c r="E4" t="s">
        <v>22</v>
      </c>
      <c r="F4" s="3">
        <v>2</v>
      </c>
      <c r="G4" s="2">
        <v>1500</v>
      </c>
      <c r="H4" s="2">
        <v>3000</v>
      </c>
      <c r="I4" s="2">
        <v>700</v>
      </c>
      <c r="J4" t="s">
        <v>23</v>
      </c>
      <c r="K4" t="s">
        <v>24</v>
      </c>
    </row>
    <row r="5" spans="1:11" x14ac:dyDescent="0.3">
      <c r="A5">
        <v>1004</v>
      </c>
      <c r="B5" s="1">
        <v>45303</v>
      </c>
      <c r="C5" t="s">
        <v>11</v>
      </c>
      <c r="D5" t="s">
        <v>25</v>
      </c>
      <c r="E5" t="s">
        <v>22</v>
      </c>
      <c r="F5" s="3">
        <v>3</v>
      </c>
      <c r="G5" s="2">
        <v>200</v>
      </c>
      <c r="H5" s="2">
        <v>600</v>
      </c>
      <c r="I5" s="2">
        <v>200</v>
      </c>
      <c r="J5" t="s">
        <v>14</v>
      </c>
      <c r="K5" t="s">
        <v>15</v>
      </c>
    </row>
    <row r="6" spans="1:11" x14ac:dyDescent="0.3">
      <c r="A6">
        <v>1005</v>
      </c>
      <c r="B6" s="1">
        <v>45304</v>
      </c>
      <c r="C6" t="s">
        <v>26</v>
      </c>
      <c r="D6" t="s">
        <v>27</v>
      </c>
      <c r="E6" t="s">
        <v>13</v>
      </c>
      <c r="F6" s="3">
        <v>1</v>
      </c>
      <c r="G6" s="2">
        <v>30000</v>
      </c>
      <c r="H6" s="2">
        <v>30000</v>
      </c>
      <c r="I6" s="2">
        <v>5000</v>
      </c>
      <c r="J6" t="s">
        <v>28</v>
      </c>
      <c r="K6" t="s">
        <v>19</v>
      </c>
    </row>
    <row r="7" spans="1:11" x14ac:dyDescent="0.3">
      <c r="A7">
        <v>1006</v>
      </c>
      <c r="B7" s="1">
        <v>45305</v>
      </c>
      <c r="C7" t="s">
        <v>29</v>
      </c>
      <c r="D7" t="s">
        <v>30</v>
      </c>
      <c r="E7" t="s">
        <v>31</v>
      </c>
      <c r="F7" s="3">
        <v>2</v>
      </c>
      <c r="G7" s="2">
        <v>2500</v>
      </c>
      <c r="H7" s="2">
        <v>5000</v>
      </c>
      <c r="I7" s="2">
        <v>1000</v>
      </c>
      <c r="J7" t="s">
        <v>18</v>
      </c>
      <c r="K7" t="s">
        <v>15</v>
      </c>
    </row>
    <row r="8" spans="1:11" x14ac:dyDescent="0.3">
      <c r="A8">
        <v>1007</v>
      </c>
      <c r="B8" s="1">
        <v>45306</v>
      </c>
      <c r="C8" t="s">
        <v>16</v>
      </c>
      <c r="D8" t="s">
        <v>32</v>
      </c>
      <c r="E8" t="s">
        <v>13</v>
      </c>
      <c r="F8" s="3">
        <v>1</v>
      </c>
      <c r="G8" s="2">
        <v>8000</v>
      </c>
      <c r="H8" s="2">
        <v>8000</v>
      </c>
      <c r="I8" s="2">
        <v>1200</v>
      </c>
      <c r="J8" t="s">
        <v>33</v>
      </c>
      <c r="K8" t="s">
        <v>19</v>
      </c>
    </row>
    <row r="9" spans="1:11" x14ac:dyDescent="0.3">
      <c r="A9">
        <v>1008</v>
      </c>
      <c r="B9" s="1">
        <v>45308</v>
      </c>
      <c r="C9" t="s">
        <v>34</v>
      </c>
      <c r="D9" t="s">
        <v>35</v>
      </c>
      <c r="E9" t="s">
        <v>31</v>
      </c>
      <c r="F9" s="3">
        <v>3</v>
      </c>
      <c r="G9" s="2">
        <v>900</v>
      </c>
      <c r="H9" s="2">
        <v>2700</v>
      </c>
      <c r="I9" s="2">
        <v>450</v>
      </c>
      <c r="J9" t="s">
        <v>23</v>
      </c>
      <c r="K9" t="s">
        <v>24</v>
      </c>
    </row>
    <row r="10" spans="1:11" x14ac:dyDescent="0.3">
      <c r="A10">
        <v>1009</v>
      </c>
      <c r="B10" s="1">
        <v>45310</v>
      </c>
      <c r="C10" t="s">
        <v>36</v>
      </c>
      <c r="D10" t="s">
        <v>17</v>
      </c>
      <c r="E10" t="s">
        <v>13</v>
      </c>
      <c r="F10" s="3">
        <v>1</v>
      </c>
      <c r="G10" s="2">
        <v>60000</v>
      </c>
      <c r="H10" s="2">
        <v>60000</v>
      </c>
      <c r="I10" s="2">
        <v>9000</v>
      </c>
      <c r="J10" t="s">
        <v>14</v>
      </c>
      <c r="K10" t="s">
        <v>15</v>
      </c>
    </row>
    <row r="11" spans="1:11" x14ac:dyDescent="0.3">
      <c r="A11">
        <v>1010</v>
      </c>
      <c r="B11" s="1">
        <v>45311</v>
      </c>
      <c r="C11" t="s">
        <v>37</v>
      </c>
      <c r="D11" t="s">
        <v>12</v>
      </c>
      <c r="E11" t="s">
        <v>13</v>
      </c>
      <c r="F11" s="3">
        <v>1</v>
      </c>
      <c r="G11" s="2">
        <v>21000</v>
      </c>
      <c r="H11" s="2">
        <v>21000</v>
      </c>
      <c r="I11" s="2">
        <v>3000</v>
      </c>
      <c r="J11" t="s">
        <v>28</v>
      </c>
      <c r="K11" t="s">
        <v>24</v>
      </c>
    </row>
    <row r="12" spans="1:11" x14ac:dyDescent="0.3">
      <c r="A12">
        <v>1011</v>
      </c>
      <c r="B12" s="1">
        <v>45313</v>
      </c>
      <c r="C12" t="s">
        <v>38</v>
      </c>
      <c r="D12" t="s">
        <v>39</v>
      </c>
      <c r="E12" t="s">
        <v>31</v>
      </c>
      <c r="F12" s="3">
        <v>2</v>
      </c>
      <c r="G12" s="2">
        <v>3000</v>
      </c>
      <c r="H12" s="2">
        <v>6000</v>
      </c>
      <c r="I12" s="2">
        <v>900</v>
      </c>
      <c r="J12" t="s">
        <v>18</v>
      </c>
      <c r="K12" t="s">
        <v>19</v>
      </c>
    </row>
    <row r="13" spans="1:11" x14ac:dyDescent="0.3">
      <c r="A13">
        <v>1012</v>
      </c>
      <c r="B13" s="1">
        <v>45314</v>
      </c>
      <c r="C13" t="s">
        <v>40</v>
      </c>
      <c r="D13" t="s">
        <v>21</v>
      </c>
      <c r="E13" t="s">
        <v>22</v>
      </c>
      <c r="F13" s="3">
        <v>1</v>
      </c>
      <c r="G13" s="2">
        <v>1500</v>
      </c>
      <c r="H13" s="2">
        <v>1500</v>
      </c>
      <c r="I13" s="2">
        <v>500</v>
      </c>
      <c r="J13" t="s">
        <v>14</v>
      </c>
      <c r="K13" t="s">
        <v>15</v>
      </c>
    </row>
    <row r="14" spans="1:11" x14ac:dyDescent="0.3">
      <c r="A14">
        <v>1013</v>
      </c>
      <c r="B14" s="1">
        <v>45316</v>
      </c>
      <c r="C14" t="s">
        <v>41</v>
      </c>
      <c r="D14" t="s">
        <v>27</v>
      </c>
      <c r="E14" t="s">
        <v>13</v>
      </c>
      <c r="F14" s="3">
        <v>2</v>
      </c>
      <c r="G14" s="2">
        <v>28000</v>
      </c>
      <c r="H14" s="2">
        <v>56000</v>
      </c>
      <c r="I14" s="2">
        <v>7000</v>
      </c>
      <c r="J14" t="s">
        <v>23</v>
      </c>
      <c r="K14" t="s">
        <v>24</v>
      </c>
    </row>
    <row r="15" spans="1:11" x14ac:dyDescent="0.3">
      <c r="A15">
        <v>1014</v>
      </c>
      <c r="B15" s="1">
        <v>45317</v>
      </c>
      <c r="C15" t="s">
        <v>42</v>
      </c>
      <c r="D15" t="s">
        <v>30</v>
      </c>
      <c r="E15" t="s">
        <v>31</v>
      </c>
      <c r="F15" s="3">
        <v>1</v>
      </c>
      <c r="G15" s="2">
        <v>2800</v>
      </c>
      <c r="H15" s="2">
        <v>2800</v>
      </c>
      <c r="I15" s="2">
        <v>400</v>
      </c>
      <c r="J15" t="s">
        <v>18</v>
      </c>
      <c r="K15" t="s">
        <v>19</v>
      </c>
    </row>
    <row r="16" spans="1:11" x14ac:dyDescent="0.3">
      <c r="A16">
        <v>1015</v>
      </c>
      <c r="B16" s="1">
        <v>45318</v>
      </c>
      <c r="C16" t="s">
        <v>11</v>
      </c>
      <c r="D16" t="s">
        <v>32</v>
      </c>
      <c r="E16" t="s">
        <v>13</v>
      </c>
      <c r="F16" s="3">
        <v>1</v>
      </c>
      <c r="G16" s="2">
        <v>7800</v>
      </c>
      <c r="H16" s="2">
        <v>7800</v>
      </c>
      <c r="I16" s="2">
        <v>1000</v>
      </c>
      <c r="J16" t="s">
        <v>14</v>
      </c>
      <c r="K16" t="s">
        <v>24</v>
      </c>
    </row>
    <row r="17" spans="1:11" x14ac:dyDescent="0.3">
      <c r="A17">
        <v>1016</v>
      </c>
      <c r="B17" s="1">
        <v>45319</v>
      </c>
      <c r="C17" t="s">
        <v>43</v>
      </c>
      <c r="D17" t="s">
        <v>25</v>
      </c>
      <c r="E17" t="s">
        <v>22</v>
      </c>
      <c r="F17" s="3">
        <v>2</v>
      </c>
      <c r="G17" s="2">
        <v>250</v>
      </c>
      <c r="H17" s="2">
        <v>500</v>
      </c>
      <c r="I17" s="2">
        <v>150</v>
      </c>
      <c r="J17" t="s">
        <v>28</v>
      </c>
      <c r="K17" t="s">
        <v>15</v>
      </c>
    </row>
    <row r="18" spans="1:11" x14ac:dyDescent="0.3">
      <c r="A18">
        <v>1017</v>
      </c>
      <c r="B18" s="1">
        <v>45320</v>
      </c>
      <c r="C18" t="s">
        <v>44</v>
      </c>
      <c r="D18" t="s">
        <v>35</v>
      </c>
      <c r="E18" t="s">
        <v>31</v>
      </c>
      <c r="F18" s="3">
        <v>1</v>
      </c>
      <c r="G18" s="2">
        <v>950</v>
      </c>
      <c r="H18" s="2">
        <v>950</v>
      </c>
      <c r="I18" s="2">
        <v>200</v>
      </c>
      <c r="J18" t="s">
        <v>33</v>
      </c>
      <c r="K18" t="s">
        <v>19</v>
      </c>
    </row>
    <row r="19" spans="1:11" x14ac:dyDescent="0.3">
      <c r="A19">
        <v>1018</v>
      </c>
      <c r="B19" s="1">
        <v>45321</v>
      </c>
      <c r="C19" t="s">
        <v>45</v>
      </c>
      <c r="D19" t="s">
        <v>17</v>
      </c>
      <c r="E19" t="s">
        <v>13</v>
      </c>
      <c r="F19" s="3">
        <v>1</v>
      </c>
      <c r="G19" s="2">
        <v>59000</v>
      </c>
      <c r="H19" s="2">
        <v>59000</v>
      </c>
      <c r="I19" s="2">
        <v>8500</v>
      </c>
      <c r="J19" t="s">
        <v>23</v>
      </c>
      <c r="K19" t="s">
        <v>24</v>
      </c>
    </row>
    <row r="20" spans="1:11" x14ac:dyDescent="0.3">
      <c r="A20">
        <v>1019</v>
      </c>
      <c r="B20" s="1">
        <v>45323</v>
      </c>
      <c r="C20" t="s">
        <v>16</v>
      </c>
      <c r="D20" t="s">
        <v>12</v>
      </c>
      <c r="E20" t="s">
        <v>13</v>
      </c>
      <c r="F20" s="3">
        <v>1</v>
      </c>
      <c r="G20" s="2">
        <v>22000</v>
      </c>
      <c r="H20" s="2">
        <v>22000</v>
      </c>
      <c r="I20" s="2">
        <v>3000</v>
      </c>
      <c r="J20" t="s">
        <v>14</v>
      </c>
      <c r="K20" t="s">
        <v>15</v>
      </c>
    </row>
    <row r="21" spans="1:11" x14ac:dyDescent="0.3">
      <c r="A21">
        <v>1020</v>
      </c>
      <c r="B21" s="1">
        <v>45324</v>
      </c>
      <c r="C21" t="s">
        <v>38</v>
      </c>
      <c r="D21" t="s">
        <v>39</v>
      </c>
      <c r="E21" t="s">
        <v>31</v>
      </c>
      <c r="F21" s="3">
        <v>1</v>
      </c>
      <c r="G21" s="2">
        <v>3200</v>
      </c>
      <c r="H21" s="2">
        <v>3200</v>
      </c>
      <c r="I21" s="2">
        <v>600</v>
      </c>
      <c r="J21" t="s">
        <v>18</v>
      </c>
      <c r="K2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D1C10-7865-4A68-8217-E70A76B65ECF}">
  <dimension ref="B4:C12"/>
  <sheetViews>
    <sheetView workbookViewId="0">
      <selection activeCell="B4" sqref="B4:C12"/>
    </sheetView>
  </sheetViews>
  <sheetFormatPr defaultRowHeight="14.4" x14ac:dyDescent="0.3"/>
  <cols>
    <col min="2" max="2" width="23.109375" bestFit="1" customWidth="1"/>
  </cols>
  <sheetData>
    <row r="4" spans="2:3" x14ac:dyDescent="0.3">
      <c r="B4" s="4" t="s">
        <v>46</v>
      </c>
      <c r="C4" s="4">
        <f>SUMPRODUCT(salessdata[Quantity],salessdata[UnitPrice])</f>
        <v>365050</v>
      </c>
    </row>
    <row r="5" spans="2:3" x14ac:dyDescent="0.3">
      <c r="B5" s="4"/>
      <c r="C5" s="4"/>
    </row>
    <row r="6" spans="2:3" x14ac:dyDescent="0.3">
      <c r="B6" s="4" t="s">
        <v>47</v>
      </c>
      <c r="C6" s="4">
        <f>SUMPRODUCT(salessdata[TotalProfit])</f>
        <v>53300</v>
      </c>
    </row>
    <row r="7" spans="2:3" x14ac:dyDescent="0.3">
      <c r="B7" s="4"/>
      <c r="C7" s="4"/>
    </row>
    <row r="8" spans="2:3" x14ac:dyDescent="0.3">
      <c r="B8" s="4" t="s">
        <v>48</v>
      </c>
      <c r="C8" s="4">
        <f>COUNT(salessdata[OrderID])</f>
        <v>20</v>
      </c>
    </row>
    <row r="9" spans="2:3" x14ac:dyDescent="0.3">
      <c r="B9" s="4"/>
      <c r="C9" s="4"/>
    </row>
    <row r="10" spans="2:3" x14ac:dyDescent="0.3">
      <c r="B10" s="4" t="s">
        <v>49</v>
      </c>
      <c r="C10" s="4">
        <f>COUNTA(_xlfn.UNIQUE(salessdata[CustomerID]))</f>
        <v>15</v>
      </c>
    </row>
    <row r="11" spans="2:3" x14ac:dyDescent="0.3">
      <c r="B11" s="4"/>
      <c r="C11" s="4"/>
    </row>
    <row r="12" spans="2:3" x14ac:dyDescent="0.3">
      <c r="B12" s="4" t="s">
        <v>50</v>
      </c>
      <c r="C12" s="4">
        <f>AVERAGE(salessdata[TotalSales])</f>
        <v>18252.5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5659-67B8-4795-9D14-95C018A11CA8}">
  <dimension ref="A3:B39"/>
  <sheetViews>
    <sheetView topLeftCell="A15" workbookViewId="0">
      <selection activeCell="A35" sqref="A35:B39"/>
    </sheetView>
  </sheetViews>
  <sheetFormatPr defaultRowHeight="14.4" x14ac:dyDescent="0.3"/>
  <cols>
    <col min="1" max="1" width="12.44140625" bestFit="1" customWidth="1"/>
    <col min="2" max="2" width="15.77734375" bestFit="1" customWidth="1"/>
  </cols>
  <sheetData>
    <row r="3" spans="1:2" x14ac:dyDescent="0.3">
      <c r="A3" s="5" t="s">
        <v>51</v>
      </c>
      <c r="B3" t="s">
        <v>53</v>
      </c>
    </row>
    <row r="4" spans="1:2" x14ac:dyDescent="0.3">
      <c r="A4" s="6" t="s">
        <v>17</v>
      </c>
      <c r="B4" s="2">
        <v>174000</v>
      </c>
    </row>
    <row r="5" spans="1:2" x14ac:dyDescent="0.3">
      <c r="A5" s="6" t="s">
        <v>27</v>
      </c>
      <c r="B5" s="2">
        <v>86000</v>
      </c>
    </row>
    <row r="6" spans="1:2" x14ac:dyDescent="0.3">
      <c r="A6" s="6" t="s">
        <v>12</v>
      </c>
      <c r="B6" s="2">
        <v>63000</v>
      </c>
    </row>
    <row r="7" spans="1:2" x14ac:dyDescent="0.3">
      <c r="A7" s="6" t="s">
        <v>32</v>
      </c>
      <c r="B7" s="2">
        <v>15800</v>
      </c>
    </row>
    <row r="8" spans="1:2" x14ac:dyDescent="0.3">
      <c r="A8" s="6" t="s">
        <v>39</v>
      </c>
      <c r="B8" s="2">
        <v>9200</v>
      </c>
    </row>
    <row r="9" spans="1:2" x14ac:dyDescent="0.3">
      <c r="A9" s="6" t="s">
        <v>30</v>
      </c>
      <c r="B9" s="2">
        <v>7800</v>
      </c>
    </row>
    <row r="10" spans="1:2" x14ac:dyDescent="0.3">
      <c r="A10" s="6" t="s">
        <v>21</v>
      </c>
      <c r="B10" s="2">
        <v>4500</v>
      </c>
    </row>
    <row r="11" spans="1:2" x14ac:dyDescent="0.3">
      <c r="A11" s="6" t="s">
        <v>35</v>
      </c>
      <c r="B11" s="2">
        <v>3650</v>
      </c>
    </row>
    <row r="12" spans="1:2" x14ac:dyDescent="0.3">
      <c r="A12" s="6" t="s">
        <v>25</v>
      </c>
      <c r="B12" s="2">
        <v>1100</v>
      </c>
    </row>
    <row r="13" spans="1:2" x14ac:dyDescent="0.3">
      <c r="A13" s="6" t="s">
        <v>52</v>
      </c>
      <c r="B13" s="2">
        <v>365050</v>
      </c>
    </row>
    <row r="18" spans="1:2" x14ac:dyDescent="0.3">
      <c r="A18" s="5" t="s">
        <v>51</v>
      </c>
      <c r="B18" t="s">
        <v>53</v>
      </c>
    </row>
    <row r="19" spans="1:2" x14ac:dyDescent="0.3">
      <c r="A19" s="6" t="s">
        <v>23</v>
      </c>
      <c r="B19" s="2">
        <v>120700</v>
      </c>
    </row>
    <row r="20" spans="1:2" x14ac:dyDescent="0.3">
      <c r="A20" s="6" t="s">
        <v>14</v>
      </c>
      <c r="B20" s="2">
        <v>111900</v>
      </c>
    </row>
    <row r="21" spans="1:2" x14ac:dyDescent="0.3">
      <c r="A21" s="6" t="s">
        <v>18</v>
      </c>
      <c r="B21" s="2">
        <v>72000</v>
      </c>
    </row>
    <row r="22" spans="1:2" x14ac:dyDescent="0.3">
      <c r="A22" s="6" t="s">
        <v>28</v>
      </c>
      <c r="B22" s="2">
        <v>51500</v>
      </c>
    </row>
    <row r="23" spans="1:2" x14ac:dyDescent="0.3">
      <c r="A23" s="6" t="s">
        <v>33</v>
      </c>
      <c r="B23" s="2">
        <v>8950</v>
      </c>
    </row>
    <row r="24" spans="1:2" x14ac:dyDescent="0.3">
      <c r="A24" s="6" t="s">
        <v>52</v>
      </c>
      <c r="B24" s="2">
        <v>365050</v>
      </c>
    </row>
    <row r="28" spans="1:2" x14ac:dyDescent="0.3">
      <c r="A28" s="5" t="s">
        <v>51</v>
      </c>
      <c r="B28" t="s">
        <v>53</v>
      </c>
    </row>
    <row r="29" spans="1:2" x14ac:dyDescent="0.3">
      <c r="A29" s="6" t="s">
        <v>54</v>
      </c>
      <c r="B29" s="2">
        <v>339850</v>
      </c>
    </row>
    <row r="30" spans="1:2" x14ac:dyDescent="0.3">
      <c r="A30" s="6" t="s">
        <v>55</v>
      </c>
      <c r="B30" s="2">
        <v>25200</v>
      </c>
    </row>
    <row r="31" spans="1:2" x14ac:dyDescent="0.3">
      <c r="A31" s="6" t="s">
        <v>52</v>
      </c>
      <c r="B31" s="2">
        <v>365050</v>
      </c>
    </row>
    <row r="35" spans="1:2" x14ac:dyDescent="0.3">
      <c r="A35" s="5" t="s">
        <v>51</v>
      </c>
      <c r="B35" t="s">
        <v>53</v>
      </c>
    </row>
    <row r="36" spans="1:2" x14ac:dyDescent="0.3">
      <c r="A36" s="6" t="s">
        <v>24</v>
      </c>
      <c r="B36" s="2">
        <v>149500</v>
      </c>
    </row>
    <row r="37" spans="1:2" x14ac:dyDescent="0.3">
      <c r="A37" s="6" t="s">
        <v>15</v>
      </c>
      <c r="B37" s="2">
        <v>109600</v>
      </c>
    </row>
    <row r="38" spans="1:2" x14ac:dyDescent="0.3">
      <c r="A38" s="6" t="s">
        <v>19</v>
      </c>
      <c r="B38" s="2">
        <v>105950</v>
      </c>
    </row>
    <row r="39" spans="1:2" x14ac:dyDescent="0.3">
      <c r="A39" s="6" t="s">
        <v>52</v>
      </c>
      <c r="B39" s="2">
        <v>365050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F93BD-5E66-4C55-B199-0DED3168EDB5}">
  <dimension ref="G3:H11"/>
  <sheetViews>
    <sheetView tabSelected="1" topLeftCell="A26" zoomScale="57" workbookViewId="0">
      <selection activeCell="H35" sqref="H35"/>
    </sheetView>
  </sheetViews>
  <sheetFormatPr defaultRowHeight="14.4" x14ac:dyDescent="0.3"/>
  <cols>
    <col min="7" max="7" width="43.88671875" bestFit="1" customWidth="1"/>
    <col min="8" max="8" width="22.77734375" style="11" bestFit="1" customWidth="1"/>
  </cols>
  <sheetData>
    <row r="3" spans="7:8" ht="25.8" x14ac:dyDescent="0.5">
      <c r="G3" s="8" t="s">
        <v>46</v>
      </c>
      <c r="H3" s="10">
        <f>SUMPRODUCT(salessdata[Quantity],salessdata[UnitPrice])</f>
        <v>365050</v>
      </c>
    </row>
    <row r="4" spans="7:8" ht="25.8" x14ac:dyDescent="0.5">
      <c r="G4" s="8"/>
      <c r="H4" s="8"/>
    </row>
    <row r="5" spans="7:8" ht="25.8" x14ac:dyDescent="0.5">
      <c r="G5" s="8" t="s">
        <v>47</v>
      </c>
      <c r="H5" s="9">
        <f>SUMPRODUCT(salessdata[TotalProfit])</f>
        <v>53300</v>
      </c>
    </row>
    <row r="6" spans="7:8" ht="25.8" x14ac:dyDescent="0.5">
      <c r="G6" s="8"/>
      <c r="H6" s="8"/>
    </row>
    <row r="7" spans="7:8" ht="25.8" x14ac:dyDescent="0.5">
      <c r="G7" s="8" t="s">
        <v>63</v>
      </c>
      <c r="H7" s="8">
        <f>COUNT(salessdata[OrderID])</f>
        <v>20</v>
      </c>
    </row>
    <row r="8" spans="7:8" ht="25.8" x14ac:dyDescent="0.5">
      <c r="G8" s="8"/>
      <c r="H8" s="8"/>
    </row>
    <row r="9" spans="7:8" ht="25.8" x14ac:dyDescent="0.5">
      <c r="G9" s="8" t="s">
        <v>62</v>
      </c>
      <c r="H9" s="8">
        <f>COUNTA(_xlfn.UNIQUE(salessdata[CustomerID]))</f>
        <v>15</v>
      </c>
    </row>
    <row r="10" spans="7:8" ht="25.8" x14ac:dyDescent="0.5">
      <c r="G10" s="8"/>
      <c r="H10" s="8"/>
    </row>
    <row r="11" spans="7:8" ht="25.8" x14ac:dyDescent="0.5">
      <c r="G11" s="8" t="s">
        <v>50</v>
      </c>
      <c r="H11" s="9">
        <f>AVERAGE(salessdata[TotalSales])</f>
        <v>18252.5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01687-0731-4EBC-92F7-82FCD62CFB03}">
  <dimension ref="B1:B11"/>
  <sheetViews>
    <sheetView workbookViewId="0">
      <selection activeCell="B3" sqref="B3:B11"/>
    </sheetView>
  </sheetViews>
  <sheetFormatPr defaultRowHeight="14.4" x14ac:dyDescent="0.3"/>
  <cols>
    <col min="2" max="2" width="49.21875" customWidth="1"/>
  </cols>
  <sheetData>
    <row r="1" spans="2:2" ht="21" x14ac:dyDescent="0.4">
      <c r="B1" s="7" t="s">
        <v>57</v>
      </c>
    </row>
    <row r="3" spans="2:2" x14ac:dyDescent="0.3">
      <c r="B3" t="s">
        <v>56</v>
      </c>
    </row>
    <row r="5" spans="2:2" x14ac:dyDescent="0.3">
      <c r="B5" t="s">
        <v>58</v>
      </c>
    </row>
    <row r="7" spans="2:2" x14ac:dyDescent="0.3">
      <c r="B7" t="s">
        <v>59</v>
      </c>
    </row>
    <row r="9" spans="2:2" x14ac:dyDescent="0.3">
      <c r="B9" t="s">
        <v>60</v>
      </c>
    </row>
    <row r="11" spans="2:2" x14ac:dyDescent="0.3">
      <c r="B1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Sales data</vt:lpstr>
      <vt:lpstr>KPIs</vt:lpstr>
      <vt:lpstr>pivots</vt:lpstr>
      <vt:lpstr>Dashboards</vt:lpstr>
      <vt:lpstr>Insights</vt:lpstr>
      <vt:lpstr>SalesData</vt:lpstr>
      <vt:lpstr>SalesTable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Jat</dc:creator>
  <cp:lastModifiedBy>Aayush Jat</cp:lastModifiedBy>
  <dcterms:created xsi:type="dcterms:W3CDTF">2025-11-26T05:56:55Z</dcterms:created>
  <dcterms:modified xsi:type="dcterms:W3CDTF">2025-11-26T11:38:35Z</dcterms:modified>
</cp:coreProperties>
</file>